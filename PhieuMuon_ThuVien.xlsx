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PhieuMuon" sheetId="1" state="visible" r:id="rId1"/>
    <sheet name="DanhMucSach" sheetId="2" state="visible" r:id="rId2"/>
  </sheets>
  <definedNames>
    <definedName name="_xlnm._FilterDatabase" localSheetId="0" hidden="1">PhieuMuon!$A$1:$F$5</definedName>
    <definedName name="_xlnm._FilterDatabase" localSheetId="0" hidden="1">PhieuMuon!$A$1:$F$5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<sst xmlns="http://schemas.openxmlformats.org/spreadsheetml/2006/main" count="31" uniqueCount="31">
  <si>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</si>
  <si>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</si>
  <si>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</si>
  <si>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</si>
  <si>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</si>
  <si>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</si>
  <si>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Thống kê</t>
  </si>
  <si>
    <t xml:space="preserve">Số phiếu</t>
  </si>
  <si>
    <t>SV001</t>
  </si>
  <si>
    <t xml:space="preserve">Nguyễn Văn An</t>
  </si>
  <si>
    <t>S001</t>
  </si>
  <si>
    <t xml:space="preserve">Đang mượn</t>
  </si>
  <si>
    <t xml:space="preserve">Tổng cộng</t>
  </si>
  <si>
    <t>SV002</t>
  </si>
  <si>
    <t xml:space="preserve">Trần Thị Bình</t>
  </si>
  <si>
    <t>S002</t>
  </si>
  <si>
    <t xml:space="preserve">Quá hạn</t>
  </si>
  <si>
    <t>SV003</t>
  </si>
  <si>
    <t xml:space="preserve">Lê Văn Cường</t>
  </si>
  <si>
    <t>S003</t>
  </si>
  <si>
    <t xml:space="preserve">Đã trả</t>
  </si>
  <si>
    <t>SV004</t>
  </si>
  <si>
    <t xml:space="preserve">Phạm Thu Hà</t>
  </si>
  <si>
    <t>S099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</si>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</sst>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</font>
    <font>
      <sz val="10.000000"/>
      <name val="Arial"/>
    </font>
    <font>
      <b/>
      <sz val="11.000000"/>
      <color indexed="65"/>
      <name val="Arial"/>
    </font>
    <font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center" vertical="center"/>
      <protection hidden="0" locked="1"/>
    </xf>
    <xf fontId="2" fillId="2" borderId="0" numFmtId="0" xfId="0" applyFont="1" applyFill="1" applyAlignment="1" applyProtection="0">
      <alignment horizontal="center"/>
      <protection hidden="0" locked="1"/>
    </xf>
    <xf fontId="3" fillId="0" borderId="1" numFmtId="0" xfId="0" applyFont="1" applyBorder="1" applyProtection="0">
      <protection hidden="0" locked="1"/>
    </xf>
    <xf fontId="3" fillId="0" borderId="1" numFmtId="164" xfId="0" applyNumberFormat="1" applyFont="1" applyBorder="1" applyAlignment="1" applyProtection="0">
      <alignment horizontal="center"/>
      <protection hidden="0" locked="1"/>
    </xf>
    <xf fontId="3" fillId="0" borderId="0" numFmtId="0" xfId="0" applyFont="1" applyProtection="0">
      <protection hidden="0" locked="1"/>
    </xf>
    <xf fontId="3" fillId="0" borderId="0" numFmtId="0" xfId="0" applyFont="1" applyAlignment="1" applyProtection="0">
      <alignment horizontal="center"/>
      <protection hidden="0" locked="1"/>
    </xf>
    <xf fontId="2" fillId="2" borderId="1" numFmtId="0" xfId="0" applyFont="1" applyFill="1" applyBorder="1" applyAlignment="1" applyProtection="0">
      <alignment horizont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10"/>
    <col customWidth="1" min="2" max="2" style="0" width="20"/>
    <col customWidth="1" min="3" max="3" style="0" width="10"/>
    <col customWidth="1" min="4" max="5" style="0" width="13"/>
    <col customWidth="1" min="6" max="6" style="0" width="24"/>
    <col customWidth="1" min="7" max="7" style="0" width="3"/>
    <col customWidth="1" min="8" max="8" style="0" width="14"/>
    <col customWidth="1" min="9" max="9" style="0" width="10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</row>
    <row r="2" ht="15">
      <c r="A2" s="3" t="s">
        <v>8</v>
      </c>
      <c r="B2" s="3" t="s">
        <v>9</v>
      </c>
      <c r="C2" s="3" t="s">
        <v>10</v>
      </c>
      <c r="D2" s="4">
        <v>46296</v>
      </c>
      <c r="E2" s="3" t="s">
        <v>11</v>
      </c>
      <c r="F2" s="3" t="str">
        <f>IFERROR(VLOOKUP(C2,DanhMucSach!$A$2:$C$4,2,FALSE()),"Không tìm thấy sách")</f>
        <v xml:space="preserve">Lập Trình C Căn Bản</v>
      </c>
      <c r="H2" s="5" t="s">
        <v>12</v>
      </c>
      <c r="I2" s="6">
        <f>COUNTA(A2:A5)</f>
        <v>4</v>
      </c>
    </row>
    <row r="3" ht="15">
      <c r="A3" s="3" t="s">
        <v>13</v>
      </c>
      <c r="B3" s="3" t="s">
        <v>14</v>
      </c>
      <c r="C3" s="3" t="s">
        <v>15</v>
      </c>
      <c r="D3" s="4">
        <v>46298</v>
      </c>
      <c r="E3" s="3" t="s">
        <v>16</v>
      </c>
      <c r="F3" s="3" t="str">
        <f>IFERROR(VLOOKUP(C3,DanhMucSach!$A$2:$C$4,2,FALSE()),"Không tìm thấy sách")</f>
        <v xml:space="preserve">Giải Tích 1</v>
      </c>
      <c r="H3" s="5" t="s">
        <v>11</v>
      </c>
      <c r="I3" s="6">
        <f>COUNTIF($E$2:$E$5,"Đang mượn")</f>
        <v>2</v>
      </c>
    </row>
    <row r="4" ht="15">
      <c r="A4" s="3" t="s">
        <v>17</v>
      </c>
      <c r="B4" s="3" t="s">
        <v>18</v>
      </c>
      <c r="C4" s="3" t="s">
        <v>19</v>
      </c>
      <c r="D4" s="4">
        <v>46305</v>
      </c>
      <c r="E4" s="3" t="s">
        <v>20</v>
      </c>
      <c r="F4" s="3" t="str">
        <f>IFERROR(VLOOKUP(C4,DanhMucSach!$A$2:$C$4,2,FALSE()),"Không tìm thấy sách")</f>
        <v xml:space="preserve">Kỹ Năng Mềm</v>
      </c>
      <c r="H4" s="5" t="s">
        <v>16</v>
      </c>
      <c r="I4" s="6">
        <f>COUNTIF($E$2:$E$5,"Quá hạn")</f>
        <v>1</v>
      </c>
    </row>
    <row r="5" ht="15">
      <c r="A5" s="3" t="s">
        <v>21</v>
      </c>
      <c r="B5" s="3" t="s">
        <v>22</v>
      </c>
      <c r="C5" s="3" t="s">
        <v>23</v>
      </c>
      <c r="D5" s="4">
        <v>46307</v>
      </c>
      <c r="E5" s="3" t="s">
        <v>11</v>
      </c>
      <c r="F5" s="3" t="str">
        <f>IFERROR(VLOOKUP(C5,DanhMucSach!$A$2:$C$4,2,FALSE()),"Không tìm thấy sách")</f>
        <v xml:space="preserve">Không tìm thấy sách</v>
      </c>
      <c r="H5" s="5" t="s">
        <v>20</v>
      </c>
      <c r="I5" s="6">
        <f>COUNTIF($E$2:$E$5,"Đã trả")</f>
        <v>1</v>
      </c>
    </row>
  </sheetData>
  <autoFilter ref="A1:F5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5"/>
  <cols>
    <col customWidth="1" min="1" max="1" style="0" width="10"/>
    <col customWidth="1" min="2" max="2" style="0" width="26"/>
    <col customWidth="1" min="3" max="3" style="0" width="22"/>
  </cols>
  <sheetData>
    <row r="1" ht="15">
      <c r="A1" s="7" t="s">
        <v>2</v>
      </c>
      <c r="B1" s="7" t="s">
        <v>5</v>
      </c>
      <c r="C1" s="7" t="s">
        <v>24</v>
      </c>
    </row>
    <row r="2" ht="15">
      <c r="A2" s="3" t="s">
        <v>10</v>
      </c>
      <c r="B2" s="3" t="s">
        <v>25</v>
      </c>
      <c r="C2" s="3" t="s">
        <v>26</v>
      </c>
    </row>
    <row r="3" ht="15">
      <c r="A3" s="3" t="s">
        <v>15</v>
      </c>
      <c r="B3" s="3" t="s">
        <v>27</v>
      </c>
      <c r="C3" s="3" t="s">
        <v>28</v>
      </c>
    </row>
    <row r="4" ht="15">
      <c r="A4" s="3" t="s">
        <v>19</v>
      </c>
      <c r="B4" s="3" t="s">
        <v>29</v>
      </c>
      <c r="C4" s="3" t="s">
        <v>30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2026-10-19T16:19:53Z</dcterms:created>
  <dcterms:modified xsi:type="dcterms:W3CDTF">2026-10-19T16:39:52Z</dcterms:modified>
</cp:coreProperties>
</file>